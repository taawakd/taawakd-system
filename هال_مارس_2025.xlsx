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مبيعات" sheetId="1" state="visible" r:id="rId3"/>
    <sheet name="المصاريف الثابتة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<sst xmlns="http://schemas.openxmlformats.org/spreadsheetml/2006/main" count="34" uniqueCount="33">
  <si>
    <t xml:space="preserve">اسم المنتج</t>
  </si>
  <si>
    <t xml:space="preserve">سعر البيع (ر.س)</t>
  </si>
  <si>
    <t xml:space="preserve">تكلفة الوحدة (ر.س)</t>
  </si>
  <si>
    <t xml:space="preserve">الكمية المباعة</t>
  </si>
  <si>
    <t xml:space="preserve">الإيراد</t>
  </si>
  <si>
    <t xml:space="preserve">تكلفة المبيعات</t>
  </si>
  <si>
    <t xml:space="preserve">الهامش الإجمالي</t>
  </si>
  <si>
    <t xml:space="preserve">قهوة اليوم بارد/حار (صغير)</t>
  </si>
  <si>
    <t xml:space="preserve">قهوة اليوم بارد/حار (كبير)</t>
  </si>
  <si>
    <t xml:space="preserve">V60 حار</t>
  </si>
  <si>
    <t xml:space="preserve">V60 بارد</t>
  </si>
  <si>
    <t xml:space="preserve">ايس تي</t>
  </si>
  <si>
    <t xml:space="preserve">ايس ماتشا صغير</t>
  </si>
  <si>
    <t xml:space="preserve">ايس ماتشا كبير</t>
  </si>
  <si>
    <t xml:space="preserve">ايس كركدية صغير</t>
  </si>
  <si>
    <t xml:space="preserve">ايس كركدية كبير</t>
  </si>
  <si>
    <t xml:space="preserve">كوكيز كلاسيك</t>
  </si>
  <si>
    <t xml:space="preserve">كوكيز توت</t>
  </si>
  <si>
    <t xml:space="preserve">كوكيز سينابون</t>
  </si>
  <si>
    <t xml:space="preserve">قولدن كرانش</t>
  </si>
  <si>
    <t xml:space="preserve">سان سبستيان</t>
  </si>
  <si>
    <t xml:space="preserve">روشيه (2 قطعة)</t>
  </si>
  <si>
    <t xml:space="preserve">ويقر بار (2 قطعة)</t>
  </si>
  <si>
    <t xml:space="preserve">بوكس قهوة اليوم (2 لتر)</t>
  </si>
  <si>
    <t xml:space="preserve">بوكس كركدية (2 لتر)</t>
  </si>
  <si>
    <t xml:space="preserve">بوكس الحلويات</t>
  </si>
  <si>
    <t xml:space="preserve">الإجمالي</t>
  </si>
  <si>
    <t xml:space="preserve">بند المصروف</t>
  </si>
  <si>
    <t xml:space="preserve">المبلغ (ر.س)</t>
  </si>
  <si>
    <t xml:space="preserve">إيجار</t>
  </si>
  <si>
    <t xml:space="preserve">رواتب</t>
  </si>
  <si>
    <t xml:space="preserve">كهرباء ومياه</t>
  </si>
  <si>
    <t xml:space="preserve">اشتراكات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</si>
</sst>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C9A84C"/>
        <bgColor rgb="FFFF99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9A84C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4" min="2" style="0" width="12"/>
    <col collapsed="false" customWidth="true" hidden="false" outlineLevel="0" max="7" min="5" style="0" width="15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3" t="n">
        <v>5</v>
      </c>
      <c r="C2" s="3" t="n">
        <v>1.5</v>
      </c>
      <c r="D2" s="3" t="n">
        <v>460</v>
      </c>
      <c r="E2" s="4" t="n">
        <f aca="false">B2*D2</f>
        <v>2300</v>
      </c>
      <c r="F2" s="4" t="n">
        <f aca="false">C2*D2</f>
        <v>690</v>
      </c>
      <c r="G2" s="4" t="n">
        <f aca="false">E2-F2</f>
        <v>1610</v>
      </c>
    </row>
    <row r="3" customFormat="false" ht="15" hidden="false" customHeight="false" outlineLevel="0" collapsed="false">
      <c r="A3" s="2" t="s">
        <v>8</v>
      </c>
      <c r="B3" s="3" t="n">
        <v>7</v>
      </c>
      <c r="C3" s="3" t="n">
        <v>2</v>
      </c>
      <c r="D3" s="3" t="n">
        <v>310</v>
      </c>
      <c r="E3" s="4" t="n">
        <f aca="false">B3*D3</f>
        <v>2170</v>
      </c>
      <c r="F3" s="4" t="n">
        <f aca="false">C3*D3</f>
        <v>620</v>
      </c>
      <c r="G3" s="4" t="n">
        <f aca="false">E3-F3</f>
        <v>1550</v>
      </c>
    </row>
    <row r="4" customFormat="false" ht="15" hidden="false" customHeight="false" outlineLevel="0" collapsed="false">
      <c r="A4" s="2" t="s">
        <v>9</v>
      </c>
      <c r="B4" s="3" t="n">
        <v>10</v>
      </c>
      <c r="C4" s="3" t="n">
        <v>3</v>
      </c>
      <c r="D4" s="3" t="n">
        <v>115</v>
      </c>
      <c r="E4" s="4" t="n">
        <f aca="false">B4*D4</f>
        <v>1150</v>
      </c>
      <c r="F4" s="4" t="n">
        <f aca="false">C4*D4</f>
        <v>345</v>
      </c>
      <c r="G4" s="4" t="n">
        <f aca="false">E4-F4</f>
        <v>805</v>
      </c>
    </row>
    <row r="5" customFormat="false" ht="15" hidden="false" customHeight="false" outlineLevel="0" collapsed="false">
      <c r="A5" s="2" t="s">
        <v>10</v>
      </c>
      <c r="B5" s="3" t="n">
        <v>10</v>
      </c>
      <c r="C5" s="3" t="n">
        <v>3</v>
      </c>
      <c r="D5" s="3" t="n">
        <v>95</v>
      </c>
      <c r="E5" s="4" t="n">
        <f aca="false">B5*D5</f>
        <v>950</v>
      </c>
      <c r="F5" s="4" t="n">
        <f aca="false">C5*D5</f>
        <v>285</v>
      </c>
      <c r="G5" s="4" t="n">
        <f aca="false">E5-F5</f>
        <v>665</v>
      </c>
    </row>
    <row r="6" customFormat="false" ht="15" hidden="false" customHeight="false" outlineLevel="0" collapsed="false">
      <c r="A6" s="2" t="s">
        <v>11</v>
      </c>
      <c r="B6" s="3" t="n">
        <v>5</v>
      </c>
      <c r="C6" s="3" t="n">
        <v>1.5</v>
      </c>
      <c r="D6" s="3" t="n">
        <v>210</v>
      </c>
      <c r="E6" s="4" t="n">
        <f aca="false">B6*D6</f>
        <v>1050</v>
      </c>
      <c r="F6" s="4" t="n">
        <f aca="false">C6*D6</f>
        <v>315</v>
      </c>
      <c r="G6" s="4" t="n">
        <f aca="false">E6-F6</f>
        <v>735</v>
      </c>
    </row>
    <row r="7" customFormat="false" ht="15" hidden="false" customHeight="false" outlineLevel="0" collapsed="false">
      <c r="A7" s="2" t="s">
        <v>12</v>
      </c>
      <c r="B7" s="3" t="n">
        <v>8</v>
      </c>
      <c r="C7" s="3" t="n">
        <v>2.5</v>
      </c>
      <c r="D7" s="3" t="n">
        <v>145</v>
      </c>
      <c r="E7" s="4" t="n">
        <f aca="false">B7*D7</f>
        <v>1160</v>
      </c>
      <c r="F7" s="4" t="n">
        <f aca="false">C7*D7</f>
        <v>362.5</v>
      </c>
      <c r="G7" s="4" t="n">
        <f aca="false">E7-F7</f>
        <v>797.5</v>
      </c>
    </row>
    <row r="8" customFormat="false" ht="15" hidden="false" customHeight="false" outlineLevel="0" collapsed="false">
      <c r="A8" s="2" t="s">
        <v>13</v>
      </c>
      <c r="B8" s="3" t="n">
        <v>14</v>
      </c>
      <c r="C8" s="3" t="n">
        <v>4</v>
      </c>
      <c r="D8" s="3" t="n">
        <v>80</v>
      </c>
      <c r="E8" s="4" t="n">
        <f aca="false">B8*D8</f>
        <v>1120</v>
      </c>
      <c r="F8" s="4" t="n">
        <f aca="false">C8*D8</f>
        <v>320</v>
      </c>
      <c r="G8" s="4" t="n">
        <f aca="false">E8-F8</f>
        <v>800</v>
      </c>
    </row>
    <row r="9" customFormat="false" ht="15" hidden="false" customHeight="false" outlineLevel="0" collapsed="false">
      <c r="A9" s="2" t="s">
        <v>14</v>
      </c>
      <c r="B9" s="3" t="n">
        <v>5</v>
      </c>
      <c r="C9" s="3" t="n">
        <v>1.5</v>
      </c>
      <c r="D9" s="3" t="n">
        <v>180</v>
      </c>
      <c r="E9" s="4" t="n">
        <f aca="false">B9*D9</f>
        <v>900</v>
      </c>
      <c r="F9" s="4" t="n">
        <f aca="false">C9*D9</f>
        <v>270</v>
      </c>
      <c r="G9" s="4" t="n">
        <f aca="false">E9-F9</f>
        <v>630</v>
      </c>
    </row>
    <row r="10" customFormat="false" ht="15" hidden="false" customHeight="false" outlineLevel="0" collapsed="false">
      <c r="A10" s="2" t="s">
        <v>15</v>
      </c>
      <c r="B10" s="3" t="n">
        <v>10</v>
      </c>
      <c r="C10" s="3" t="n">
        <v>3</v>
      </c>
      <c r="D10" s="3" t="n">
        <v>110</v>
      </c>
      <c r="E10" s="4" t="n">
        <f aca="false">B10*D10</f>
        <v>1100</v>
      </c>
      <c r="F10" s="4" t="n">
        <f aca="false">C10*D10</f>
        <v>330</v>
      </c>
      <c r="G10" s="4" t="n">
        <f aca="false">E10-F10</f>
        <v>770</v>
      </c>
    </row>
    <row r="11" customFormat="false" ht="15" hidden="false" customHeight="false" outlineLevel="0" collapsed="false">
      <c r="A11" s="2" t="s">
        <v>16</v>
      </c>
      <c r="B11" s="3" t="n">
        <v>5</v>
      </c>
      <c r="C11" s="3" t="n">
        <v>1.5</v>
      </c>
      <c r="D11" s="3" t="n">
        <v>160</v>
      </c>
      <c r="E11" s="4" t="n">
        <f aca="false">B11*D11</f>
        <v>800</v>
      </c>
      <c r="F11" s="4" t="n">
        <f aca="false">C11*D11</f>
        <v>240</v>
      </c>
      <c r="G11" s="4" t="n">
        <f aca="false">E11-F11</f>
        <v>560</v>
      </c>
    </row>
    <row r="12" customFormat="false" ht="15" hidden="false" customHeight="false" outlineLevel="0" collapsed="false">
      <c r="A12" s="2" t="s">
        <v>17</v>
      </c>
      <c r="B12" s="3" t="n">
        <v>5</v>
      </c>
      <c r="C12" s="3" t="n">
        <v>1.5</v>
      </c>
      <c r="D12" s="3" t="n">
        <v>120</v>
      </c>
      <c r="E12" s="4" t="n">
        <f aca="false">B12*D12</f>
        <v>600</v>
      </c>
      <c r="F12" s="4" t="n">
        <f aca="false">C12*D12</f>
        <v>180</v>
      </c>
      <c r="G12" s="4" t="n">
        <f aca="false">E12-F12</f>
        <v>420</v>
      </c>
    </row>
    <row r="13" customFormat="false" ht="15" hidden="false" customHeight="false" outlineLevel="0" collapsed="false">
      <c r="A13" s="2" t="s">
        <v>18</v>
      </c>
      <c r="B13" s="3" t="n">
        <v>5</v>
      </c>
      <c r="C13" s="3" t="n">
        <v>1.5</v>
      </c>
      <c r="D13" s="3" t="n">
        <v>115</v>
      </c>
      <c r="E13" s="4" t="n">
        <f aca="false">B13*D13</f>
        <v>575</v>
      </c>
      <c r="F13" s="4" t="n">
        <f aca="false">C13*D13</f>
        <v>172.5</v>
      </c>
      <c r="G13" s="4" t="n">
        <f aca="false">E13-F13</f>
        <v>402.5</v>
      </c>
    </row>
    <row r="14" customFormat="false" ht="15" hidden="false" customHeight="false" outlineLevel="0" collapsed="false">
      <c r="A14" s="2" t="s">
        <v>19</v>
      </c>
      <c r="B14" s="3" t="n">
        <v>8</v>
      </c>
      <c r="C14" s="3" t="n">
        <v>2.5</v>
      </c>
      <c r="D14" s="3" t="n">
        <v>80</v>
      </c>
      <c r="E14" s="4" t="n">
        <f aca="false">B14*D14</f>
        <v>640</v>
      </c>
      <c r="F14" s="4" t="n">
        <f aca="false">C14*D14</f>
        <v>200</v>
      </c>
      <c r="G14" s="4" t="n">
        <f aca="false">E14-F14</f>
        <v>440</v>
      </c>
    </row>
    <row r="15" customFormat="false" ht="15" hidden="false" customHeight="false" outlineLevel="0" collapsed="false">
      <c r="A15" s="2" t="s">
        <v>20</v>
      </c>
      <c r="B15" s="3" t="n">
        <v>5</v>
      </c>
      <c r="C15" s="3" t="n">
        <v>1.5</v>
      </c>
      <c r="D15" s="3" t="n">
        <v>75</v>
      </c>
      <c r="E15" s="4" t="n">
        <f aca="false">B15*D15</f>
        <v>375</v>
      </c>
      <c r="F15" s="4" t="n">
        <f aca="false">C15*D15</f>
        <v>112.5</v>
      </c>
      <c r="G15" s="4" t="n">
        <f aca="false">E15-F15</f>
        <v>262.5</v>
      </c>
    </row>
    <row r="16" customFormat="false" ht="15" hidden="false" customHeight="false" outlineLevel="0" collapsed="false">
      <c r="A16" s="2" t="s">
        <v>21</v>
      </c>
      <c r="B16" s="3" t="n">
        <v>5</v>
      </c>
      <c r="C16" s="3" t="n">
        <v>1.5</v>
      </c>
      <c r="D16" s="3" t="n">
        <v>115</v>
      </c>
      <c r="E16" s="4" t="n">
        <f aca="false">B16*D16</f>
        <v>575</v>
      </c>
      <c r="F16" s="4" t="n">
        <f aca="false">C16*D16</f>
        <v>172.5</v>
      </c>
      <c r="G16" s="4" t="n">
        <f aca="false">E16-F16</f>
        <v>402.5</v>
      </c>
    </row>
    <row r="17" customFormat="false" ht="15" hidden="false" customHeight="false" outlineLevel="0" collapsed="false">
      <c r="A17" s="2" t="s">
        <v>22</v>
      </c>
      <c r="B17" s="3" t="n">
        <v>5</v>
      </c>
      <c r="C17" s="3" t="n">
        <v>1.5</v>
      </c>
      <c r="D17" s="3" t="n">
        <v>110</v>
      </c>
      <c r="E17" s="4" t="n">
        <f aca="false">B17*D17</f>
        <v>550</v>
      </c>
      <c r="F17" s="4" t="n">
        <f aca="false">C17*D17</f>
        <v>165</v>
      </c>
      <c r="G17" s="4" t="n">
        <f aca="false">E17-F17</f>
        <v>385</v>
      </c>
    </row>
    <row r="18" customFormat="false" ht="15" hidden="false" customHeight="false" outlineLevel="0" collapsed="false">
      <c r="A18" s="2" t="s">
        <v>23</v>
      </c>
      <c r="B18" s="3" t="n">
        <v>39</v>
      </c>
      <c r="C18" s="3" t="n">
        <v>12</v>
      </c>
      <c r="D18" s="3" t="n">
        <v>24</v>
      </c>
      <c r="E18" s="4" t="n">
        <f aca="false">B18*D18</f>
        <v>936</v>
      </c>
      <c r="F18" s="4" t="n">
        <f aca="false">C18*D18</f>
        <v>288</v>
      </c>
      <c r="G18" s="4" t="n">
        <f aca="false">E18-F18</f>
        <v>648</v>
      </c>
    </row>
    <row r="19" customFormat="false" ht="15" hidden="false" customHeight="false" outlineLevel="0" collapsed="false">
      <c r="A19" s="2" t="s">
        <v>24</v>
      </c>
      <c r="B19" s="3" t="n">
        <v>49</v>
      </c>
      <c r="C19" s="3" t="n">
        <v>15</v>
      </c>
      <c r="D19" s="3" t="n">
        <v>18</v>
      </c>
      <c r="E19" s="4" t="n">
        <f aca="false">B19*D19</f>
        <v>882</v>
      </c>
      <c r="F19" s="4" t="n">
        <f aca="false">C19*D19</f>
        <v>270</v>
      </c>
      <c r="G19" s="4" t="n">
        <f aca="false">E19-F19</f>
        <v>612</v>
      </c>
    </row>
    <row r="20" customFormat="false" ht="15" hidden="false" customHeight="false" outlineLevel="0" collapsed="false">
      <c r="A20" s="2" t="s">
        <v>25</v>
      </c>
      <c r="B20" s="3" t="n">
        <v>39</v>
      </c>
      <c r="C20" s="3" t="n">
        <v>12</v>
      </c>
      <c r="D20" s="3" t="n">
        <v>15</v>
      </c>
      <c r="E20" s="4" t="n">
        <f aca="false">B20*D20</f>
        <v>585</v>
      </c>
      <c r="F20" s="4" t="n">
        <f aca="false">C20*D20</f>
        <v>180</v>
      </c>
      <c r="G20" s="4" t="n">
        <f aca="false">E20-F20</f>
        <v>405</v>
      </c>
    </row>
    <row r="21" customFormat="false" ht="15" hidden="false" customHeight="false" outlineLevel="0" collapsed="false">
      <c r="A21" s="5" t="s">
        <v>26</v>
      </c>
      <c r="B21" s="6"/>
      <c r="C21" s="6"/>
      <c r="D21" s="7" t="n">
        <f aca="false">SUM(D2:D20)</f>
        <v>2537</v>
      </c>
      <c r="E21" s="8" t="n">
        <f aca="false">SUM(E2:E20)</f>
        <v>18418</v>
      </c>
      <c r="F21" s="8" t="n">
        <f aca="false">SUM(F2:F20)</f>
        <v>5518</v>
      </c>
      <c r="G21" s="8" t="n">
        <f aca="false">SUM(G2:G20)</f>
        <v>12900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5"/>
  </cols>
  <sheetData>
    <row r="1" customFormat="false" ht="15" hidden="false" customHeight="false" outlineLevel="0" collapsed="false">
      <c r="A1" s="1" t="s">
        <v>27</v>
      </c>
      <c r="B1" s="1" t="s">
        <v>28</v>
      </c>
    </row>
    <row r="2" customFormat="false" ht="15" hidden="false" customHeight="false" outlineLevel="0" collapsed="false">
      <c r="A2" s="2" t="s">
        <v>29</v>
      </c>
      <c r="B2" s="9" t="n">
        <v>8000</v>
      </c>
    </row>
    <row r="3" customFormat="false" ht="15" hidden="false" customHeight="false" outlineLevel="0" collapsed="false">
      <c r="A3" s="2" t="s">
        <v>30</v>
      </c>
      <c r="B3" s="9" t="n">
        <v>12000</v>
      </c>
    </row>
    <row r="4" customFormat="false" ht="15" hidden="false" customHeight="false" outlineLevel="0" collapsed="false">
      <c r="A4" s="2" t="s">
        <v>31</v>
      </c>
      <c r="B4" s="9" t="n">
        <v>1500</v>
      </c>
    </row>
    <row r="5" customFormat="false" ht="15" hidden="false" customHeight="false" outlineLevel="0" collapsed="false">
      <c r="A5" s="2" t="s">
        <v>32</v>
      </c>
      <c r="B5" s="9" t="n">
        <v>500</v>
      </c>
    </row>
    <row r="6" customFormat="false" ht="15" hidden="false" customHeight="false" outlineLevel="0" collapsed="false">
      <c r="A6" s="5" t="s">
        <v>26</v>
      </c>
      <c r="B6" s="8" t="n">
        <f aca="false">SUM(B2:B5)</f>
        <v>22000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2026-03-15T21:44:45Z</dcterms:created>
  <dc:creator>openpyxl</dc:creator>
  <dc:description/>
  <dc:language>en-US</dc:language>
  <cp:lastModifiedBy/>
  <dcterms:modified xsi:type="dcterms:W3CDTF">2026-03-15T21:44:45Z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