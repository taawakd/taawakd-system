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قرير المبيعات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<sst xmlns="http://schemas.openxmlformats.org/spreadsheetml/2006/main" count="21" uniqueCount="21">
  <si>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تقرير مبيعات مطعم الوليمة — فبراير 2026</t>
  </si>
  <si>
    <t xml:space="preserve">المنتج</t>
  </si>
  <si>
    <t xml:space="preserve">الكمية المباعة</t>
  </si>
  <si>
    <t xml:space="preserve">سعر الوحدة (ريال)</t>
  </si>
  <si>
    <t xml:space="preserve">إجمالي الإيراد (ريال)</t>
  </si>
  <si>
    <t xml:space="preserve">تكلفة الوحدة (ريال)</t>
  </si>
  <si>
    <t xml:space="preserve">إجمالي التكلفة (ريال)</t>
  </si>
  <si>
    <t xml:space="preserve">الربح (ريال)</t>
  </si>
  <si>
    <t xml:space="preserve">برجر كلاسيك</t>
  </si>
  <si>
    <t xml:space="preserve">برجر مزدوج</t>
  </si>
  <si>
    <t xml:space="preserve">بيتزا مارغريتا</t>
  </si>
  <si>
    <t xml:space="preserve">بيتزا دجاج</t>
  </si>
  <si>
    <t xml:space="preserve">مشاوي مشكلة</t>
  </si>
  <si>
    <t xml:space="preserve">دجاج مشوي</t>
  </si>
  <si>
    <t xml:space="preserve">سلطة سيزر</t>
  </si>
  <si>
    <t xml:space="preserve">سلطة فتوش</t>
  </si>
  <si>
    <t xml:space="preserve">حليب محلوب</t>
  </si>
  <si>
    <t xml:space="preserve">عصير طازج</t>
  </si>
  <si>
    <t xml:space="preserve">قهوة عربية</t>
  </si>
  <si>
    <t xml:space="preserve">حلويات مشكلة</t>
  </si>
  <si>
    <t xml:space="preserve">الإجمالي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</si>
</sst>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3FB"/>
        <bgColor rgb="FFFFFFFF"/>
      </patternFill>
    </fill>
    <fill>
      <patternFill patternType="solid">
        <fgColor rgb="FFD9E1F2"/>
        <bgColor rgb="FFEF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n">
        <v>320</v>
      </c>
      <c r="C3" s="3" t="n">
        <v>35</v>
      </c>
      <c r="D3" s="3" t="n">
        <f aca="false">B3*C3</f>
        <v>11200</v>
      </c>
      <c r="E3" s="3" t="n">
        <v>30</v>
      </c>
      <c r="F3" s="3" t="n">
        <f aca="false">B3*E3</f>
        <v>9600</v>
      </c>
      <c r="G3" s="3" t="n">
        <f aca="false">D3-F3</f>
        <v>1600</v>
      </c>
    </row>
    <row r="4" customFormat="false" ht="15" hidden="false" customHeight="false" outlineLevel="0" collapsed="false">
      <c r="A4" s="4" t="s">
        <v>9</v>
      </c>
      <c r="B4" s="4" t="n">
        <v>195</v>
      </c>
      <c r="C4" s="4" t="n">
        <v>48</v>
      </c>
      <c r="D4" s="4" t="n">
        <f aca="false">B4*C4</f>
        <v>9360</v>
      </c>
      <c r="E4" s="4" t="n">
        <v>38</v>
      </c>
      <c r="F4" s="4" t="n">
        <f aca="false">B4*E4</f>
        <v>7410</v>
      </c>
      <c r="G4" s="4" t="n">
        <f aca="false">D4-F4</f>
        <v>1950</v>
      </c>
    </row>
    <row r="5" customFormat="false" ht="15" hidden="false" customHeight="false" outlineLevel="0" collapsed="false">
      <c r="A5" s="3" t="s">
        <v>10</v>
      </c>
      <c r="B5" s="3" t="n">
        <v>140</v>
      </c>
      <c r="C5" s="3" t="n">
        <v>55</v>
      </c>
      <c r="D5" s="3" t="n">
        <f aca="false">B5*C5</f>
        <v>7700</v>
      </c>
      <c r="E5" s="3" t="n">
        <v>28</v>
      </c>
      <c r="F5" s="3" t="n">
        <f aca="false">B5*E5</f>
        <v>3920</v>
      </c>
      <c r="G5" s="3" t="n">
        <f aca="false">D5-F5</f>
        <v>3780</v>
      </c>
    </row>
    <row r="6" customFormat="false" ht="15" hidden="false" customHeight="false" outlineLevel="0" collapsed="false">
      <c r="A6" s="4" t="s">
        <v>11</v>
      </c>
      <c r="B6" s="4" t="n">
        <v>168</v>
      </c>
      <c r="C6" s="4" t="n">
        <v>60</v>
      </c>
      <c r="D6" s="4" t="n">
        <f aca="false">B6*C6</f>
        <v>10080</v>
      </c>
      <c r="E6" s="4" t="n">
        <v>32</v>
      </c>
      <c r="F6" s="4" t="n">
        <f aca="false">B6*E6</f>
        <v>5376</v>
      </c>
      <c r="G6" s="4" t="n">
        <f aca="false">D6-F6</f>
        <v>4704</v>
      </c>
    </row>
    <row r="7" customFormat="false" ht="15" hidden="false" customHeight="false" outlineLevel="0" collapsed="false">
      <c r="A7" s="3" t="s">
        <v>12</v>
      </c>
      <c r="B7" s="3" t="n">
        <v>90</v>
      </c>
      <c r="C7" s="3" t="n">
        <v>95</v>
      </c>
      <c r="D7" s="3" t="n">
        <f aca="false">B7*C7</f>
        <v>8550</v>
      </c>
      <c r="E7" s="3" t="n">
        <v>52</v>
      </c>
      <c r="F7" s="3" t="n">
        <f aca="false">B7*E7</f>
        <v>4680</v>
      </c>
      <c r="G7" s="3" t="n">
        <f aca="false">D7-F7</f>
        <v>3870</v>
      </c>
    </row>
    <row r="8" customFormat="false" ht="15" hidden="false" customHeight="false" outlineLevel="0" collapsed="false">
      <c r="A8" s="4" t="s">
        <v>13</v>
      </c>
      <c r="B8" s="4" t="n">
        <v>210</v>
      </c>
      <c r="C8" s="4" t="n">
        <v>45</v>
      </c>
      <c r="D8" s="4" t="n">
        <f aca="false">B8*C8</f>
        <v>9450</v>
      </c>
      <c r="E8" s="4" t="n">
        <v>22</v>
      </c>
      <c r="F8" s="4" t="n">
        <f aca="false">B8*E8</f>
        <v>4620</v>
      </c>
      <c r="G8" s="4" t="n">
        <f aca="false">D8-F8</f>
        <v>4830</v>
      </c>
    </row>
    <row r="9" customFormat="false" ht="15" hidden="false" customHeight="false" outlineLevel="0" collapsed="false">
      <c r="A9" s="3" t="s">
        <v>14</v>
      </c>
      <c r="B9" s="3" t="n">
        <v>130</v>
      </c>
      <c r="C9" s="3" t="n">
        <v>28</v>
      </c>
      <c r="D9" s="3" t="n">
        <f aca="false">B9*C9</f>
        <v>3640</v>
      </c>
      <c r="E9" s="3" t="n">
        <v>10</v>
      </c>
      <c r="F9" s="3" t="n">
        <f aca="false">B9*E9</f>
        <v>1300</v>
      </c>
      <c r="G9" s="3" t="n">
        <f aca="false">D9-F9</f>
        <v>2340</v>
      </c>
    </row>
    <row r="10" customFormat="false" ht="15" hidden="false" customHeight="false" outlineLevel="0" collapsed="false">
      <c r="A10" s="4" t="s">
        <v>15</v>
      </c>
      <c r="B10" s="4" t="n">
        <v>88</v>
      </c>
      <c r="C10" s="4" t="n">
        <v>22</v>
      </c>
      <c r="D10" s="4" t="n">
        <f aca="false">B10*C10</f>
        <v>1936</v>
      </c>
      <c r="E10" s="4" t="n">
        <v>8</v>
      </c>
      <c r="F10" s="4" t="n">
        <f aca="false">B10*E10</f>
        <v>704</v>
      </c>
      <c r="G10" s="4" t="n">
        <f aca="false">D10-F10</f>
        <v>1232</v>
      </c>
    </row>
    <row r="11" customFormat="false" ht="15" hidden="false" customHeight="false" outlineLevel="0" collapsed="false">
      <c r="A11" s="3" t="s">
        <v>16</v>
      </c>
      <c r="B11" s="3" t="n">
        <v>260</v>
      </c>
      <c r="C11" s="3" t="n">
        <v>18</v>
      </c>
      <c r="D11" s="3" t="n">
        <f aca="false">B11*C11</f>
        <v>4680</v>
      </c>
      <c r="E11" s="3" t="n">
        <v>5</v>
      </c>
      <c r="F11" s="3" t="n">
        <f aca="false">B11*E11</f>
        <v>1300</v>
      </c>
      <c r="G11" s="3" t="n">
        <f aca="false">D11-F11</f>
        <v>3380</v>
      </c>
    </row>
    <row r="12" customFormat="false" ht="15" hidden="false" customHeight="false" outlineLevel="0" collapsed="false">
      <c r="A12" s="4" t="s">
        <v>17</v>
      </c>
      <c r="B12" s="4" t="n">
        <v>185</v>
      </c>
      <c r="C12" s="4" t="n">
        <v>20</v>
      </c>
      <c r="D12" s="4" t="n">
        <f aca="false">B12*C12</f>
        <v>3700</v>
      </c>
      <c r="E12" s="4" t="n">
        <v>6</v>
      </c>
      <c r="F12" s="4" t="n">
        <f aca="false">B12*E12</f>
        <v>1110</v>
      </c>
      <c r="G12" s="4" t="n">
        <f aca="false">D12-F12</f>
        <v>2590</v>
      </c>
    </row>
    <row r="13" customFormat="false" ht="15" hidden="false" customHeight="false" outlineLevel="0" collapsed="false">
      <c r="A13" s="3" t="s">
        <v>18</v>
      </c>
      <c r="B13" s="3" t="n">
        <v>340</v>
      </c>
      <c r="C13" s="3" t="n">
        <v>15</v>
      </c>
      <c r="D13" s="3" t="n">
        <f aca="false">B13*C13</f>
        <v>5100</v>
      </c>
      <c r="E13" s="3" t="n">
        <v>3</v>
      </c>
      <c r="F13" s="3" t="n">
        <f aca="false">B13*E13</f>
        <v>1020</v>
      </c>
      <c r="G13" s="3" t="n">
        <f aca="false">D13-F13</f>
        <v>4080</v>
      </c>
    </row>
    <row r="14" customFormat="false" ht="15" hidden="false" customHeight="false" outlineLevel="0" collapsed="false">
      <c r="A14" s="4" t="s">
        <v>19</v>
      </c>
      <c r="B14" s="4" t="n">
        <v>115</v>
      </c>
      <c r="C14" s="4" t="n">
        <v>30</v>
      </c>
      <c r="D14" s="4" t="n">
        <f aca="false">B14*C14</f>
        <v>3450</v>
      </c>
      <c r="E14" s="4" t="n">
        <v>12</v>
      </c>
      <c r="F14" s="4" t="n">
        <f aca="false">B14*E14</f>
        <v>1380</v>
      </c>
      <c r="G14" s="4" t="n">
        <f aca="false">D14-F14</f>
        <v>2070</v>
      </c>
    </row>
    <row r="15" customFormat="false" ht="15" hidden="false" customHeight="false" outlineLevel="0" collapsed="false">
      <c r="A15" s="5" t="s">
        <v>20</v>
      </c>
      <c r="B15" s="5" t="n">
        <f aca="false">SUM(B3:B14)</f>
        <v>2241</v>
      </c>
      <c r="C15" s="5"/>
      <c r="D15" s="5" t="n">
        <f aca="false">SUM(D3:D14)</f>
        <v>78846</v>
      </c>
      <c r="E15" s="5"/>
      <c r="F15" s="5" t="n">
        <f aca="false">SUM(F3:F14)</f>
        <v>42420</v>
      </c>
      <c r="G15" s="5" t="n">
        <f aca="false">SUM(G3:G14)</f>
        <v>36426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2026-03-11T21:47:45Z</dcterms:created>
  <dc:creator>openpyxl</dc:creator>
  <dc:description/>
  <dc:language>en-US</dc:language>
  <cp:lastModifiedBy/>
  <dcterms:modified xsi:type="dcterms:W3CDTF">2026-03-11T21:47:45Z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