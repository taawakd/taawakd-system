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قائمة الدخل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<sst xmlns="http://schemas.openxmlformats.org/spreadsheetml/2006/main" count="20" uniqueCount="20">
  <si>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قائمة الدخل — بقالة النور — يناير-فبراير 2026</t>
  </si>
  <si>
    <t xml:space="preserve">البند</t>
  </si>
  <si>
    <t xml:space="preserve">يناير 2026</t>
  </si>
  <si>
    <t xml:space="preserve">فبراير 2026</t>
  </si>
  <si>
    <t xml:space="preserve">الإيرادات</t>
  </si>
  <si>
    <t xml:space="preserve">مبيعات المواد الغذائية</t>
  </si>
  <si>
    <t xml:space="preserve">مبيعات المواد المنزلية</t>
  </si>
  <si>
    <t xml:space="preserve">مبيعات المشروبات</t>
  </si>
  <si>
    <t xml:space="preserve">إجمالي الإيرادات</t>
  </si>
  <si>
    <t xml:space="preserve">تكاليف المبيعات</t>
  </si>
  <si>
    <t xml:space="preserve">تكلفة البضاعة المباعة</t>
  </si>
  <si>
    <t xml:space="preserve">إجمالي التكاليف</t>
  </si>
  <si>
    <t xml:space="preserve">إجمالي الربح</t>
  </si>
  <si>
    <t xml:space="preserve">المصاريف التشغيلية</t>
  </si>
  <si>
    <t xml:space="preserve">الإيجار</t>
  </si>
  <si>
    <t xml:space="preserve">الرواتب</t>
  </si>
  <si>
    <t xml:space="preserve">الكهرباء والمياه</t>
  </si>
  <si>
    <t xml:space="preserve">مصاريف متنوعة</t>
  </si>
  <si>
    <t xml:space="preserve">إجمالي المصاريف</t>
  </si>
  <si>
    <t xml:space="preserve">صافي الربح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</si>
</sst>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EFF3FB"/>
      </patternFill>
    </fill>
    <fill>
      <patternFill patternType="solid">
        <fgColor rgb="FFEFF3FB"/>
        <bgColor rgb="FFFFFFFF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FF3F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</row>
    <row r="4" customFormat="false" ht="15" hidden="false" customHeight="false" outlineLevel="0" collapsed="false">
      <c r="A4" s="4" t="s">
        <v>5</v>
      </c>
      <c r="B4" s="4" t="n">
        <v>38500</v>
      </c>
      <c r="C4" s="4" t="n">
        <v>41200</v>
      </c>
    </row>
    <row r="5" customFormat="false" ht="15" hidden="false" customHeight="false" outlineLevel="0" collapsed="false">
      <c r="A5" s="5" t="s">
        <v>6</v>
      </c>
      <c r="B5" s="5" t="n">
        <v>12300</v>
      </c>
      <c r="C5" s="5" t="n">
        <v>13800</v>
      </c>
    </row>
    <row r="6" customFormat="false" ht="15" hidden="false" customHeight="false" outlineLevel="0" collapsed="false">
      <c r="A6" s="4" t="s">
        <v>7</v>
      </c>
      <c r="B6" s="4" t="n">
        <v>8900</v>
      </c>
      <c r="C6" s="4" t="n">
        <v>9600</v>
      </c>
    </row>
    <row r="7" customFormat="false" ht="15" hidden="false" customHeight="false" outlineLevel="0" collapsed="false">
      <c r="A7" s="6" t="s">
        <v>8</v>
      </c>
      <c r="B7" s="6" t="n">
        <f aca="false">B4+B5+B6</f>
        <v>59700</v>
      </c>
      <c r="C7" s="6" t="n">
        <f aca="false">C4+C5+C6</f>
        <v>64600</v>
      </c>
    </row>
    <row r="8" customFormat="false" ht="15" hidden="false" customHeight="false" outlineLevel="0" collapsed="false">
      <c r="A8" s="4"/>
      <c r="B8" s="4"/>
      <c r="C8" s="4"/>
    </row>
    <row r="9" customFormat="false" ht="15" hidden="false" customHeight="false" outlineLevel="0" collapsed="false">
      <c r="A9" s="3" t="s">
        <v>9</v>
      </c>
    </row>
    <row r="10" customFormat="false" ht="15" hidden="false" customHeight="false" outlineLevel="0" collapsed="false">
      <c r="A10" s="6" t="s">
        <v>10</v>
      </c>
      <c r="B10" s="6" t="n">
        <v>36800</v>
      </c>
      <c r="C10" s="6" t="n">
        <v>39400</v>
      </c>
    </row>
    <row r="11" customFormat="false" ht="15" hidden="false" customHeight="false" outlineLevel="0" collapsed="false">
      <c r="A11" s="6" t="s">
        <v>11</v>
      </c>
      <c r="B11" s="6" t="n">
        <f aca="false">B9</f>
        <v>0</v>
      </c>
      <c r="C11" s="6" t="n">
        <f aca="false">C9</f>
        <v>0</v>
      </c>
    </row>
    <row r="12" customFormat="false" ht="15" hidden="false" customHeight="false" outlineLevel="0" collapsed="false">
      <c r="A12" s="4"/>
      <c r="B12" s="4"/>
      <c r="C12" s="4"/>
    </row>
    <row r="13" customFormat="false" ht="15" hidden="false" customHeight="false" outlineLevel="0" collapsed="false">
      <c r="A13" s="5" t="s">
        <v>12</v>
      </c>
      <c r="B13" s="5" t="n">
        <f aca="false">B7-B10</f>
        <v>22900</v>
      </c>
      <c r="C13" s="5" t="n">
        <f aca="false">C7-C10</f>
        <v>25200</v>
      </c>
    </row>
    <row r="14" customFormat="false" ht="15" hidden="false" customHeight="false" outlineLevel="0" collapsed="false">
      <c r="A14" s="4"/>
      <c r="B14" s="4"/>
      <c r="C14" s="4"/>
    </row>
    <row r="15" customFormat="false" ht="15" hidden="false" customHeight="false" outlineLevel="0" collapsed="false">
      <c r="A15" s="3" t="s">
        <v>13</v>
      </c>
    </row>
    <row r="16" customFormat="false" ht="15" hidden="false" customHeight="false" outlineLevel="0" collapsed="false">
      <c r="A16" s="4" t="s">
        <v>14</v>
      </c>
      <c r="B16" s="4" t="n">
        <v>3500</v>
      </c>
      <c r="C16" s="4" t="n">
        <v>3500</v>
      </c>
    </row>
    <row r="17" customFormat="false" ht="15" hidden="false" customHeight="false" outlineLevel="0" collapsed="false">
      <c r="A17" s="5" t="s">
        <v>15</v>
      </c>
      <c r="B17" s="5" t="n">
        <v>5500</v>
      </c>
      <c r="C17" s="5" t="n">
        <v>5500</v>
      </c>
    </row>
    <row r="18" customFormat="false" ht="15" hidden="false" customHeight="false" outlineLevel="0" collapsed="false">
      <c r="A18" s="6" t="s">
        <v>16</v>
      </c>
      <c r="B18" s="6" t="n">
        <v>880</v>
      </c>
      <c r="C18" s="6" t="n">
        <v>920</v>
      </c>
    </row>
    <row r="19" customFormat="false" ht="15" hidden="false" customHeight="false" outlineLevel="0" collapsed="false">
      <c r="A19" s="5" t="s">
        <v>17</v>
      </c>
      <c r="B19" s="5" t="n">
        <v>450</v>
      </c>
      <c r="C19" s="5" t="n">
        <v>380</v>
      </c>
    </row>
    <row r="20" customFormat="false" ht="15" hidden="false" customHeight="false" outlineLevel="0" collapsed="false">
      <c r="A20" s="6" t="s">
        <v>18</v>
      </c>
      <c r="B20" s="6" t="n">
        <f aca="false">B14+B15+B16+B17</f>
        <v>9000</v>
      </c>
      <c r="C20" s="6" t="n">
        <f aca="false">C14+C15+C16+C17</f>
        <v>9000</v>
      </c>
    </row>
    <row r="21" customFormat="false" ht="15" hidden="false" customHeight="false" outlineLevel="0" collapsed="false">
      <c r="A21" s="5"/>
      <c r="B21" s="5"/>
      <c r="C21" s="5"/>
    </row>
    <row r="22" customFormat="false" ht="15" hidden="false" customHeight="false" outlineLevel="0" collapsed="false">
      <c r="A22" s="4" t="s">
        <v>19</v>
      </c>
      <c r="B22" s="4" t="n">
        <f aca="false">B11-B18</f>
        <v>-880</v>
      </c>
      <c r="C22" s="4" t="n">
        <f aca="false">C11-C18</f>
        <v>-920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2026-03-11T21:47:45Z</dcterms:created>
  <dc:creator>openpyxl</dc:creator>
  <dc:description/>
  <dc:language>en-US</dc:language>
  <cp:lastModifiedBy/>
  <dcterms:modified xsi:type="dcterms:W3CDTF">2026-03-11T21:47:45Z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