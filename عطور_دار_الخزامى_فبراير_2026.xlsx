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تقرير الأداء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<sst xmlns="http://schemas.openxmlformats.org/spreadsheetml/2006/main" count="21" uniqueCount="21">
  <si>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تقرير الأداء المالي — عطور دار الخزامى — فبراير 2026</t>
  </si>
  <si>
    <t xml:space="preserve">البند</t>
  </si>
  <si>
    <t xml:space="preserve">القيمة</t>
  </si>
  <si>
    <t xml:space="preserve">إجمالي الإيرادات</t>
  </si>
  <si>
    <t xml:space="preserve">تكلفة البضاعة المباعة</t>
  </si>
  <si>
    <t xml:space="preserve">إجمالي الربح</t>
  </si>
  <si>
    <t xml:space="preserve">الإيجار</t>
  </si>
  <si>
    <t xml:space="preserve">رواتب الموظفين</t>
  </si>
  <si>
    <t xml:space="preserve">مصاريف التسويق</t>
  </si>
  <si>
    <t xml:space="preserve">الكهرباء والمياه</t>
  </si>
  <si>
    <t xml:space="preserve">مصاريف أخرى</t>
  </si>
  <si>
    <t xml:space="preserve">إجمالي المصاريف التشغيلية</t>
  </si>
  <si>
    <t xml:space="preserve">صافي الربح</t>
  </si>
  <si>
    <t xml:space="preserve">هامش الربح الإجمالي %</t>
  </si>
  <si>
    <t xml:space="preserve">هامش صافي الربح %</t>
  </si>
  <si>
    <t xml:space="preserve">عدد الفواتير</t>
  </si>
  <si>
    <t xml:space="preserve">متوسط قيمة الفاتورة</t>
  </si>
  <si>
    <t xml:space="preserve">أعلى منتج مبيعاً</t>
  </si>
  <si>
    <t xml:space="preserve">عود الشموخ</t>
  </si>
  <si>
    <t xml:space="preserve">الفترة المرجعية</t>
  </si>
  <si>
    <t xml:space="preserve">01/02/2026 - 28/02/2026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</si>
</sst>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FF3FB"/>
        <bgColor rgb="FFFFFFFF"/>
      </patternFill>
    </fill>
    <fill>
      <patternFill patternType="solid">
        <fgColor rgb="FFD9E1F2"/>
        <bgColor rgb="FFEF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FF3FB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</cols>
  <sheetData>
    <row r="1" customFormat="false" ht="27.75" hidden="false" customHeight="true" outlineLevel="0" collapsed="false">
      <c r="A1" s="1" t="s">
        <v>0</v>
      </c>
      <c r="B1" s="1"/>
    </row>
    <row r="2" customFormat="false" ht="36" hidden="false" customHeight="tru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3" t="s">
        <v>3</v>
      </c>
      <c r="B3" s="3" t="n">
        <v>72500</v>
      </c>
    </row>
    <row r="4" customFormat="false" ht="15" hidden="false" customHeight="false" outlineLevel="0" collapsed="false">
      <c r="A4" s="4" t="s">
        <v>4</v>
      </c>
      <c r="B4" s="4" t="n">
        <v>31800</v>
      </c>
    </row>
    <row r="5" customFormat="false" ht="15" hidden="false" customHeight="false" outlineLevel="0" collapsed="false">
      <c r="A5" s="5" t="s">
        <v>5</v>
      </c>
      <c r="B5" s="5" t="n">
        <f aca="false">B3-B4</f>
        <v>40700</v>
      </c>
    </row>
    <row r="6" customFormat="false" ht="15" hidden="false" customHeight="false" outlineLevel="0" collapsed="false">
      <c r="A6" s="4" t="s">
        <v>6</v>
      </c>
      <c r="B6" s="4" t="n">
        <v>6000</v>
      </c>
    </row>
    <row r="7" customFormat="false" ht="15" hidden="false" customHeight="false" outlineLevel="0" collapsed="false">
      <c r="A7" s="6" t="s">
        <v>7</v>
      </c>
      <c r="B7" s="6" t="n">
        <v>12000</v>
      </c>
    </row>
    <row r="8" customFormat="false" ht="15" hidden="false" customHeight="false" outlineLevel="0" collapsed="false">
      <c r="A8" s="4" t="s">
        <v>8</v>
      </c>
      <c r="B8" s="4" t="n">
        <v>3200</v>
      </c>
    </row>
    <row r="9" customFormat="false" ht="15" hidden="false" customHeight="false" outlineLevel="0" collapsed="false">
      <c r="A9" s="6" t="s">
        <v>9</v>
      </c>
      <c r="B9" s="6" t="n">
        <v>750</v>
      </c>
    </row>
    <row r="10" customFormat="false" ht="15" hidden="false" customHeight="false" outlineLevel="0" collapsed="false">
      <c r="A10" s="4" t="s">
        <v>10</v>
      </c>
      <c r="B10" s="4" t="n">
        <v>980</v>
      </c>
    </row>
    <row r="11" customFormat="false" ht="15" hidden="false" customHeight="false" outlineLevel="0" collapsed="false">
      <c r="A11" s="5" t="s">
        <v>11</v>
      </c>
      <c r="B11" s="5" t="n">
        <f aca="false">B6+B7+B8+B9+B10</f>
        <v>22930</v>
      </c>
    </row>
    <row r="12" customFormat="false" ht="15" hidden="false" customHeight="false" outlineLevel="0" collapsed="false">
      <c r="A12" s="5" t="s">
        <v>12</v>
      </c>
      <c r="B12" s="5" t="n">
        <f aca="false">B5-B11</f>
        <v>17770</v>
      </c>
    </row>
    <row r="13" customFormat="false" ht="15" hidden="false" customHeight="false" outlineLevel="0" collapsed="false">
      <c r="A13" s="6" t="s">
        <v>13</v>
      </c>
      <c r="B13" s="6" t="n">
        <f aca="false">IFERROR(B5/B3*100,0)</f>
        <v>56.1379310344828</v>
      </c>
    </row>
    <row r="14" customFormat="false" ht="15" hidden="false" customHeight="false" outlineLevel="0" collapsed="false">
      <c r="A14" s="4" t="s">
        <v>14</v>
      </c>
      <c r="B14" s="4" t="n">
        <f aca="false">IFERROR(B12/B3*100,0)</f>
        <v>24.5103448275862</v>
      </c>
    </row>
    <row r="15" customFormat="false" ht="15" hidden="false" customHeight="false" outlineLevel="0" collapsed="false">
      <c r="A15" s="6" t="s">
        <v>15</v>
      </c>
      <c r="B15" s="6" t="n">
        <v>485</v>
      </c>
    </row>
    <row r="16" customFormat="false" ht="15" hidden="false" customHeight="false" outlineLevel="0" collapsed="false">
      <c r="A16" s="4" t="s">
        <v>16</v>
      </c>
      <c r="B16" s="4" t="n">
        <f aca="false">IFERROR(B3/B14,0)</f>
        <v>2957.93472144063</v>
      </c>
    </row>
    <row r="17" customFormat="false" ht="15" hidden="false" customHeight="false" outlineLevel="0" collapsed="false">
      <c r="A17" s="6" t="s">
        <v>17</v>
      </c>
      <c r="B17" s="7" t="s">
        <v>18</v>
      </c>
    </row>
    <row r="18" customFormat="false" ht="15" hidden="false" customHeight="false" outlineLevel="0" collapsed="false">
      <c r="A18" s="4" t="s">
        <v>19</v>
      </c>
      <c r="B18" s="8" t="s">
        <v>20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2026-03-11T21:47:45Z</dcterms:created>
  <dc:creator>openpyxl</dc:creator>
  <dc:description/>
  <dc:language>en-US</dc:language>
  <cp:lastModifiedBy/>
  <dcterms:modified xsi:type="dcterms:W3CDTF">2026-03-11T21:47:45Z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